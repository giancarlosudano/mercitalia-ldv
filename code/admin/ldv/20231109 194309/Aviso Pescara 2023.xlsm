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 updateLinks="always" defaultThemeVersion="124226"/>
  <mc:AlternateContent xmlns:mc="http://schemas.openxmlformats.org/markup-compatibility/2006">
    <mc:Choice Requires="x15">
      <x15ac:absPath xmlns:x15ac="http://schemas.microsoft.com/office/spreadsheetml/2010/11/ac" url="C:\Users\z256703\AppData\Local\Microsoft\Windows\INetCache\Content.Outlook\OXQI86J1\"/>
    </mc:Choice>
  </mc:AlternateContent>
  <xr:revisionPtr revIDLastSave="0" documentId="13_ncr:1_{0F0D5AB8-8034-4A4B-87A2-3A660EFCC04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09.11.23" sheetId="631" r:id="rId1"/>
  </sheets>
  <calcPr calcId="191028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3" i="631" l="1"/>
  <c r="J33" i="631"/>
  <c r="S28" i="631" l="1"/>
  <c r="S19" i="631"/>
  <c r="S13" i="631" l="1"/>
  <c r="S12" i="631"/>
  <c r="S22" i="631" l="1"/>
  <c r="S17" i="631" l="1"/>
  <c r="S18" i="631"/>
  <c r="S16" i="631"/>
  <c r="S23" i="631"/>
  <c r="S24" i="631"/>
  <c r="I33" i="631" l="1"/>
  <c r="S30" i="631"/>
  <c r="S29" i="631"/>
  <c r="S27" i="631"/>
  <c r="S26" i="631"/>
  <c r="S25" i="631"/>
  <c r="S20" i="631"/>
  <c r="S15" i="631"/>
  <c r="S14" i="631"/>
  <c r="S21" i="631"/>
  <c r="D6" i="631"/>
</calcChain>
</file>

<file path=xl/sharedStrings.xml><?xml version="1.0" encoding="utf-8"?>
<sst xmlns="http://schemas.openxmlformats.org/spreadsheetml/2006/main" count="213" uniqueCount="117">
  <si>
    <t>AVISO DER SENDUNGEN FÜR DEN ZUG -&gt; VILLACH SÜD - PESCARA P.N.</t>
  </si>
  <si>
    <t xml:space="preserve">Zug Nr. </t>
  </si>
  <si>
    <t>ACHTUNG max. 1.600 to</t>
  </si>
  <si>
    <t>ACHTUNG max. 530 m</t>
  </si>
  <si>
    <t>Versandtag in Villach Süd:</t>
  </si>
  <si>
    <t>Gesamtgewicht:</t>
  </si>
  <si>
    <t>Länge:</t>
  </si>
  <si>
    <t>Empfangstag in Pescara P.N.:</t>
  </si>
  <si>
    <t>Zulauf nach Tarvisio:</t>
  </si>
  <si>
    <t>Für die Verrechnung:</t>
  </si>
  <si>
    <t>Fortl.Nr.</t>
  </si>
  <si>
    <t>Waggon-Nr:</t>
  </si>
  <si>
    <t>NHM</t>
  </si>
  <si>
    <t>Gut / Merce</t>
  </si>
  <si>
    <t>Vers. Bhf. / staz. Partenza</t>
  </si>
  <si>
    <t>Versender / Mittente</t>
  </si>
  <si>
    <t>Empfänger / Destinatario</t>
  </si>
  <si>
    <t>Info</t>
  </si>
  <si>
    <t>Ax</t>
  </si>
  <si>
    <t>Brutto</t>
  </si>
  <si>
    <t>LüP</t>
  </si>
  <si>
    <t>Versanddatum</t>
  </si>
  <si>
    <t>V - VW</t>
  </si>
  <si>
    <t>V. Bhf. Nr</t>
  </si>
  <si>
    <t>E - VW</t>
  </si>
  <si>
    <t>E. Bhf. Nr</t>
  </si>
  <si>
    <t>Versand-Nr.</t>
  </si>
  <si>
    <t>Waggonnummer</t>
  </si>
  <si>
    <t>Tarifnummer</t>
  </si>
  <si>
    <t>Partner</t>
  </si>
  <si>
    <t>RUNDHOLZ</t>
  </si>
  <si>
    <t>RWA AG</t>
  </si>
  <si>
    <t>T.C.F.S. / BOSCHIVA SRLS</t>
  </si>
  <si>
    <t>07811-3</t>
  </si>
  <si>
    <t>5181.58</t>
  </si>
  <si>
    <t>E</t>
  </si>
  <si>
    <t>SCHNITTHOLZ</t>
  </si>
  <si>
    <t>LEOBEN GÖSS</t>
  </si>
  <si>
    <t>vagone per Bicocca</t>
  </si>
  <si>
    <t>03605-3</t>
  </si>
  <si>
    <t>YBBS a.d. DONAU</t>
  </si>
  <si>
    <t>STORA ENSO WOOD PRODUCTS GmbH</t>
  </si>
  <si>
    <t>T.C.F.S. / LESTI PALLETS SRL</t>
  </si>
  <si>
    <t>01045-4</t>
  </si>
  <si>
    <t>T.C.F.S. / IOCCO LEGNAMI SRL</t>
  </si>
  <si>
    <t>MÖLLBRÜCKE-SACHSENBURG</t>
  </si>
  <si>
    <t>03862-0</t>
  </si>
  <si>
    <t>LEIMBINDER</t>
  </si>
  <si>
    <t>LOGISTICA MERIDIONALE SRL / GLG LEGNAMI SRL</t>
  </si>
  <si>
    <t>T.C.F.S. / IMBALLAGGI MINUTILLO</t>
  </si>
  <si>
    <t>NEULENGBACH</t>
  </si>
  <si>
    <t>01025-6</t>
  </si>
  <si>
    <t>PREDING-WIESELSDORF</t>
  </si>
  <si>
    <t>13463-5</t>
  </si>
  <si>
    <t>LOGISTICA MERIDIONALE SRL / MIRRIONE FRANCESCO SRL</t>
  </si>
  <si>
    <t>LOGISTICA MERIDIONALE SRL / 2 CLIENTI</t>
  </si>
  <si>
    <t>2 MITTENTE</t>
  </si>
  <si>
    <t>RETZ</t>
  </si>
  <si>
    <t>HOLZINDUSTRIE MARESCH GmbH</t>
  </si>
  <si>
    <t>02667-4</t>
  </si>
  <si>
    <t>GAISHORN</t>
  </si>
  <si>
    <t>MAYR-MELNHOF GAISHORN GmbH</t>
  </si>
  <si>
    <t>01638-6</t>
  </si>
  <si>
    <t>FRANKENMARKT</t>
  </si>
  <si>
    <t>01100-7</t>
  </si>
  <si>
    <t>SOPRON</t>
  </si>
  <si>
    <t>33217-1</t>
  </si>
  <si>
    <t>VÖCKLAMARKT</t>
  </si>
  <si>
    <t>01098-3</t>
  </si>
  <si>
    <t>HASSLACHER PREDING HOLZINDUSTRIE GmbH</t>
  </si>
  <si>
    <t>HOLZ. STALLINGER GmbH</t>
  </si>
  <si>
    <t>ca. 08:35 Uhr</t>
  </si>
  <si>
    <t>T.C.F.S. / PONTINA LEGNAMI SRL</t>
  </si>
  <si>
    <t>T.C.F.S. / GI.FA. SRL</t>
  </si>
  <si>
    <t>4407 + 4418</t>
  </si>
  <si>
    <t>SCHNITTHOLZ + LEIMBINDER</t>
  </si>
  <si>
    <t>MOBILER</t>
  </si>
  <si>
    <t>MOBILERLOGISTIK</t>
  </si>
  <si>
    <t>T.C.F.S. / TECNO GEA SRL</t>
  </si>
  <si>
    <t>3500.01</t>
  </si>
  <si>
    <t>NATURA LEGNO SRL</t>
  </si>
  <si>
    <t>RPC  8139-5 (1. Gruppe) und 8130-8 (2. Gruppe)</t>
  </si>
  <si>
    <t>ZISTERSDORF</t>
  </si>
  <si>
    <t>FCC AUSTRIA ABFALL SERVICE AG</t>
  </si>
  <si>
    <t>02752-4</t>
  </si>
  <si>
    <t>MAYR-MELNHOF LEOBEN GmbH</t>
  </si>
  <si>
    <t>VÖCKLAMARKTER HOLZINDUSTRIE</t>
  </si>
  <si>
    <t>LOGISTICA MERIDIONALE SRL / SALVO ORAZIO &amp; FIGLI SRL</t>
  </si>
  <si>
    <t>SZENTESI TROFEA KFT.</t>
  </si>
  <si>
    <t>LOGISTICA MERIDIONALE SRL / LEGNOMIX SRL</t>
  </si>
  <si>
    <t>66327-8</t>
  </si>
  <si>
    <t>66328-6</t>
  </si>
  <si>
    <t>63677-9</t>
  </si>
  <si>
    <t>64126-6</t>
  </si>
  <si>
    <t>64127-4</t>
  </si>
  <si>
    <t>NIKLASDORF</t>
  </si>
  <si>
    <t>03602-0</t>
  </si>
  <si>
    <t>ST. MICHAEL CCT</t>
  </si>
  <si>
    <t>01986-9</t>
  </si>
  <si>
    <t>69112-1</t>
  </si>
  <si>
    <t>61386-9</t>
  </si>
  <si>
    <t>78104-7</t>
  </si>
  <si>
    <t>61391-9</t>
  </si>
  <si>
    <t>61392-7</t>
  </si>
  <si>
    <t>66813-7</t>
  </si>
  <si>
    <t>68884-6</t>
  </si>
  <si>
    <t>72404-7</t>
  </si>
  <si>
    <t>72405-4</t>
  </si>
  <si>
    <t>72136-5</t>
  </si>
  <si>
    <t>72141-5</t>
  </si>
  <si>
    <t>62148-2</t>
  </si>
  <si>
    <t>66181-9</t>
  </si>
  <si>
    <t>LOGISTICA MERIDIONALE SRL / EMCO SRL c/o FANARA TRASPORTI</t>
  </si>
  <si>
    <t>78511-3</t>
  </si>
  <si>
    <t>~ 1.357 to</t>
  </si>
  <si>
    <t>~ 500 m</t>
  </si>
  <si>
    <t>ca. 15:30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</si>
</sst>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0\ 0000\ 000\-0"/>
    <numFmt numFmtId="165" formatCode="0000"/>
    <numFmt numFmtId="166" formatCode="ddd/dd/mm/yy"/>
    <numFmt numFmtId="167" formatCode="h:mm"/>
  </numFmts>
  <fonts count="7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color indexed="8"/>
      <name val="Calibri"/>
      <family val="2"/>
      <charset val="238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4" fontId="1" fillId="0" borderId="0" xfId="0" applyNumberFormat="1" applyFont="1"/>
    <xf numFmtId="0" fontId="1" fillId="0" borderId="0" xfId="0" applyFont="1"/>
    <xf numFmtId="165" fontId="1" fillId="0" borderId="0" xfId="0" applyNumberFormat="1" applyFont="1"/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4" fontId="2" fillId="0" borderId="0" xfId="0" applyNumberFormat="1" applyFont="1"/>
    <xf numFmtId="164" fontId="1" fillId="0" borderId="0" xfId="0" applyNumberFormat="1" applyFont="1" applyAlignment="1">
      <alignment horizontal="center"/>
    </xf>
    <xf numFmtId="4" fontId="0" fillId="0" borderId="1" xfId="0" applyNumberFormat="1" applyBorder="1" applyAlignment="1">
      <alignment horizontal="center"/>
    </xf>
    <xf numFmtId="164" fontId="4" fillId="0" borderId="0" xfId="0" applyNumberFormat="1" applyFont="1"/>
    <xf numFmtId="164" fontId="1" fillId="0" borderId="0" xfId="0" applyNumberFormat="1" applyFont="1" applyAlignment="1">
      <alignment horizontal="left"/>
    </xf>
    <xf numFmtId="166" fontId="4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3" fontId="1" fillId="0" borderId="2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  <xf numFmtId="3" fontId="0" fillId="0" borderId="0" xfId="0" applyNumberFormat="1"/>
    <xf numFmtId="0" fontId="4" fillId="2" borderId="7" xfId="0" applyFont="1" applyFill="1" applyBorder="1" applyAlignment="1">
      <alignment horizontal="center"/>
    </xf>
    <xf numFmtId="164" fontId="1" fillId="3" borderId="9" xfId="0" applyNumberFormat="1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1" fillId="0" borderId="0" xfId="0" applyNumberFormat="1" applyFont="1" applyAlignment="1">
      <alignment horizontal="left"/>
    </xf>
    <xf numFmtId="166" fontId="1" fillId="0" borderId="0" xfId="0" applyNumberFormat="1" applyFont="1" applyAlignment="1">
      <alignment horizontal="left"/>
    </xf>
    <xf numFmtId="0" fontId="0" fillId="0" borderId="11" xfId="0" applyBorder="1" applyAlignment="1">
      <alignment horizontal="center"/>
    </xf>
    <xf numFmtId="1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4" fillId="0" borderId="11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1" fillId="3" borderId="9" xfId="0" applyFont="1" applyFill="1" applyBorder="1" applyAlignment="1">
      <alignment horizontal="center" wrapText="1"/>
    </xf>
    <xf numFmtId="0" fontId="1" fillId="3" borderId="9" xfId="0" applyFont="1" applyFill="1" applyBorder="1"/>
    <xf numFmtId="165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3" fontId="4" fillId="0" borderId="3" xfId="0" applyNumberFormat="1" applyFont="1" applyBorder="1" applyAlignment="1">
      <alignment horizontal="center" vertical="center"/>
    </xf>
    <xf numFmtId="1" fontId="0" fillId="0" borderId="3" xfId="0" applyNumberFormat="1" applyBorder="1" applyAlignment="1">
      <alignment horizontal="center"/>
    </xf>
    <xf numFmtId="14" fontId="4" fillId="0" borderId="10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167" fontId="4" fillId="0" borderId="11" xfId="0" applyNumberFormat="1" applyFont="1" applyBorder="1" applyAlignment="1">
      <alignment horizontal="center"/>
    </xf>
    <xf numFmtId="14" fontId="4" fillId="0" borderId="13" xfId="0" applyNumberFormat="1" applyFont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3" fontId="4" fillId="0" borderId="11" xfId="0" applyNumberFormat="1" applyFont="1" applyBorder="1" applyAlignment="1">
      <alignment horizontal="center" vertical="center"/>
    </xf>
    <xf numFmtId="0" fontId="6" fillId="0" borderId="0" xfId="0" applyFont="1"/>
    <xf numFmtId="165" fontId="4" fillId="0" borderId="11" xfId="0" applyNumberFormat="1" applyFont="1" applyBorder="1" applyAlignment="1">
      <alignment horizontal="center"/>
    </xf>
    <xf numFmtId="1" fontId="4" fillId="0" borderId="11" xfId="0" applyNumberFormat="1" applyFont="1" applyBorder="1" applyAlignment="1">
      <alignment horizontal="center"/>
    </xf>
    <xf numFmtId="164" fontId="4" fillId="0" borderId="11" xfId="0" applyNumberFormat="1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164" fontId="1" fillId="0" borderId="3" xfId="0" applyNumberFormat="1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167" fontId="4" fillId="0" borderId="11" xfId="0" applyNumberFormat="1" applyFont="1" applyFill="1" applyBorder="1" applyAlignment="1">
      <alignment horizontal="center"/>
    </xf>
    <xf numFmtId="164" fontId="4" fillId="0" borderId="3" xfId="0" applyNumberFormat="1" applyFont="1" applyFill="1" applyBorder="1" applyAlignment="1">
      <alignment horizontal="center"/>
    </xf>
    <xf numFmtId="164" fontId="0" fillId="0" borderId="11" xfId="0" applyNumberFormat="1" applyFill="1" applyBorder="1" applyAlignment="1">
      <alignment horizontal="center"/>
    </xf>
  </cellXfs>
  <cellStyles count="2">
    <cellStyle name="Normál 2" xfId="1" xr:uid="{00000000-0005-0000-0000-000000000000}"/>
    <cellStyle name="Standard" xfId="0" builtinId="0"/>
  </cellStyles>
  <dxfs count="4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876300</xdr:colOff>
      <xdr:row>0</xdr:row>
      <xdr:rowOff>0</xdr:rowOff>
    </xdr:from>
    <xdr:to>
      <xdr:col>11</xdr:col>
      <xdr:colOff>0</xdr:colOff>
      <xdr:row>3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EBE20D7A-DABB-49D4-AB7D-38E86DE52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4925" y="0"/>
          <a:ext cx="1647825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1DB9-0BFE-462E-BB5F-E64F069F2B89}">
  <dimension ref="A1:V46"/>
  <sheetViews>
    <sheetView tabSelected="1" zoomScaleNormal="100" workbookViewId="0">
      <selection activeCell="A11" sqref="A11"/>
    </sheetView>
  </sheetViews>
  <sheetFormatPr baseColWidth="10" defaultColWidth="11.42578125" defaultRowHeight="12.75" x14ac:dyDescent="0.2"/>
  <cols>
    <col min="1" max="1" width="7.85546875" customWidth="1"/>
    <col min="2" max="2" width="15.42578125" customWidth="1"/>
    <col min="3" max="3" width="6.28515625" customWidth="1"/>
    <col min="4" max="4" width="17.140625" customWidth="1"/>
    <col min="5" max="5" width="26.28515625" customWidth="1"/>
    <col min="6" max="6" width="22" customWidth="1"/>
    <col min="7" max="7" width="25.7109375" customWidth="1"/>
    <col min="8" max="8" width="20.42578125" customWidth="1"/>
    <col min="9" max="9" width="4.5703125" customWidth="1"/>
    <col min="10" max="10" width="6.42578125" bestFit="1" customWidth="1"/>
    <col min="11" max="11" width="6.42578125" customWidth="1"/>
    <col min="12" max="12" width="3.7109375" customWidth="1"/>
    <col min="13" max="13" width="13.7109375" customWidth="1"/>
    <col min="14" max="14" width="7.140625" bestFit="1" customWidth="1"/>
    <col min="15" max="15" width="9.5703125" bestFit="1" customWidth="1"/>
    <col min="16" max="16" width="7" bestFit="1" customWidth="1"/>
    <col min="17" max="17" width="9.42578125" style="18" bestFit="1" customWidth="1"/>
    <col min="18" max="18" width="12.42578125" bestFit="1" customWidth="1"/>
    <col min="19" max="19" width="16.28515625" bestFit="1" customWidth="1"/>
    <col min="20" max="20" width="12.7109375" bestFit="1" customWidth="1"/>
    <col min="21" max="21" width="7.7109375" bestFit="1" customWidth="1"/>
    <col min="22" max="22" width="3.7109375" customWidth="1"/>
    <col min="24" max="24" width="11.85546875" bestFit="1" customWidth="1"/>
    <col min="25" max="25" width="9.140625" bestFit="1" customWidth="1"/>
    <col min="26" max="26" width="7.42578125" bestFit="1" customWidth="1"/>
  </cols>
  <sheetData>
    <row r="1" spans="1:22" ht="18" x14ac:dyDescent="0.25">
      <c r="A1" s="11" t="s">
        <v>0</v>
      </c>
      <c r="B1" s="1"/>
      <c r="C1" s="1"/>
      <c r="E1" s="1"/>
      <c r="F1" s="1"/>
      <c r="G1" s="1"/>
      <c r="H1" s="1"/>
      <c r="I1" s="1"/>
      <c r="J1" s="1"/>
      <c r="K1" s="1"/>
      <c r="L1" s="1"/>
    </row>
    <row r="2" spans="1:22" x14ac:dyDescent="0.2">
      <c r="A2" s="1"/>
      <c r="B2" s="1"/>
      <c r="C2" s="1"/>
      <c r="E2" s="1"/>
      <c r="F2" s="1"/>
      <c r="G2" s="1"/>
      <c r="H2" s="1"/>
      <c r="I2" s="1"/>
    </row>
    <row r="3" spans="1:22" x14ac:dyDescent="0.2">
      <c r="A3" s="4" t="s">
        <v>1</v>
      </c>
      <c r="B3" s="1"/>
      <c r="C3" s="1"/>
      <c r="D3" s="36">
        <v>45283</v>
      </c>
      <c r="E3" s="2"/>
      <c r="I3" s="14"/>
    </row>
    <row r="4" spans="1:22" x14ac:dyDescent="0.2">
      <c r="A4" s="4"/>
      <c r="B4" s="1"/>
      <c r="C4" s="1"/>
      <c r="D4" s="15"/>
      <c r="E4" s="1"/>
      <c r="G4" s="14" t="s">
        <v>2</v>
      </c>
      <c r="H4" s="14" t="s">
        <v>3</v>
      </c>
      <c r="I4" s="4"/>
      <c r="J4" s="14"/>
      <c r="K4" s="14"/>
      <c r="L4" s="14"/>
    </row>
    <row r="5" spans="1:22" x14ac:dyDescent="0.2">
      <c r="A5" s="4" t="s">
        <v>4</v>
      </c>
      <c r="B5" s="1"/>
      <c r="C5" s="1"/>
      <c r="D5" s="37">
        <v>45239</v>
      </c>
      <c r="E5" s="16" t="s">
        <v>116</v>
      </c>
      <c r="F5" s="66"/>
      <c r="G5" s="6" t="s">
        <v>5</v>
      </c>
      <c r="H5" s="4" t="s">
        <v>6</v>
      </c>
      <c r="I5" s="14"/>
      <c r="J5" s="16"/>
      <c r="K5" s="16"/>
      <c r="L5" s="14"/>
    </row>
    <row r="6" spans="1:22" x14ac:dyDescent="0.2">
      <c r="A6" s="4" t="s">
        <v>7</v>
      </c>
      <c r="B6" s="1"/>
      <c r="C6" s="1"/>
      <c r="D6" s="37">
        <f>D5+1</f>
        <v>45240</v>
      </c>
      <c r="E6" s="16" t="s">
        <v>71</v>
      </c>
      <c r="G6" s="14" t="s">
        <v>114</v>
      </c>
      <c r="H6" s="14" t="s">
        <v>115</v>
      </c>
      <c r="I6" s="14"/>
      <c r="J6" s="3"/>
      <c r="K6" s="3"/>
      <c r="L6" s="1"/>
    </row>
    <row r="7" spans="1:22" x14ac:dyDescent="0.2">
      <c r="A7" s="5" t="s">
        <v>8</v>
      </c>
      <c r="B7" s="1"/>
      <c r="C7" s="1"/>
      <c r="D7" s="19" t="s">
        <v>81</v>
      </c>
      <c r="L7" s="1"/>
    </row>
    <row r="9" spans="1:22" x14ac:dyDescent="0.2">
      <c r="H9" s="1"/>
      <c r="I9" s="1"/>
      <c r="J9" s="1"/>
      <c r="K9" s="1"/>
      <c r="M9" s="4" t="s">
        <v>9</v>
      </c>
      <c r="N9" s="4"/>
      <c r="O9" s="4"/>
      <c r="P9" s="4"/>
      <c r="Q9" s="4"/>
      <c r="T9" s="18"/>
    </row>
    <row r="10" spans="1:22" ht="13.5" thickBot="1" x14ac:dyDescent="0.25">
      <c r="A10" s="1"/>
      <c r="B10" s="1"/>
      <c r="D10" s="1"/>
      <c r="E10" s="1"/>
      <c r="F10" s="1"/>
      <c r="G10" s="1"/>
      <c r="H10" s="1"/>
      <c r="I10" s="1"/>
      <c r="Q10"/>
      <c r="T10" s="18"/>
    </row>
    <row r="11" spans="1:22" ht="24.75" customHeight="1" thickBot="1" x14ac:dyDescent="0.25">
      <c r="A11" s="30" t="s">
        <v>10</v>
      </c>
      <c r="B11" s="30" t="s">
        <v>11</v>
      </c>
      <c r="C11" s="31" t="s">
        <v>12</v>
      </c>
      <c r="D11" s="30" t="s">
        <v>13</v>
      </c>
      <c r="E11" s="30" t="s">
        <v>14</v>
      </c>
      <c r="F11" s="30" t="s">
        <v>15</v>
      </c>
      <c r="G11" s="30" t="s">
        <v>16</v>
      </c>
      <c r="H11" s="30" t="s">
        <v>17</v>
      </c>
      <c r="I11" s="30" t="s">
        <v>18</v>
      </c>
      <c r="J11" s="31" t="s">
        <v>19</v>
      </c>
      <c r="K11" s="31" t="s">
        <v>20</v>
      </c>
      <c r="M11" s="31" t="s">
        <v>21</v>
      </c>
      <c r="N11" s="48" t="s">
        <v>22</v>
      </c>
      <c r="O11" s="31" t="s">
        <v>23</v>
      </c>
      <c r="P11" s="31" t="s">
        <v>24</v>
      </c>
      <c r="Q11" s="31" t="s">
        <v>25</v>
      </c>
      <c r="R11" s="31" t="s">
        <v>26</v>
      </c>
      <c r="S11" s="49" t="s">
        <v>27</v>
      </c>
      <c r="T11" s="31" t="s">
        <v>28</v>
      </c>
      <c r="U11" s="31" t="s">
        <v>29</v>
      </c>
    </row>
    <row r="12" spans="1:22" x14ac:dyDescent="0.2">
      <c r="A12" s="57">
        <v>1</v>
      </c>
      <c r="B12" s="69">
        <v>318149324747</v>
      </c>
      <c r="C12" s="41">
        <v>9932</v>
      </c>
      <c r="D12" s="27" t="s">
        <v>76</v>
      </c>
      <c r="E12" s="62" t="s">
        <v>82</v>
      </c>
      <c r="F12" s="74" t="s">
        <v>83</v>
      </c>
      <c r="G12" s="64" t="s">
        <v>78</v>
      </c>
      <c r="H12" s="70"/>
      <c r="I12" s="38">
        <v>8</v>
      </c>
      <c r="J12" s="68">
        <v>51.6</v>
      </c>
      <c r="K12" s="40">
        <v>39.700000000000003</v>
      </c>
      <c r="M12" s="47">
        <v>45237</v>
      </c>
      <c r="N12" s="23">
        <v>81</v>
      </c>
      <c r="O12" s="27" t="s">
        <v>84</v>
      </c>
      <c r="P12" s="23">
        <v>83</v>
      </c>
      <c r="Q12" s="27" t="s">
        <v>33</v>
      </c>
      <c r="R12" s="27" t="s">
        <v>109</v>
      </c>
      <c r="S12" s="21">
        <f t="shared" ref="S12:S30" si="0">B12</f>
        <v>318149324747</v>
      </c>
      <c r="T12" s="27" t="s">
        <v>79</v>
      </c>
      <c r="U12" s="45" t="s">
        <v>35</v>
      </c>
      <c r="V12" s="17"/>
    </row>
    <row r="13" spans="1:22" x14ac:dyDescent="0.2">
      <c r="A13" s="57">
        <v>2</v>
      </c>
      <c r="B13" s="69">
        <v>318149323855</v>
      </c>
      <c r="C13" s="41">
        <v>9932</v>
      </c>
      <c r="D13" s="27" t="s">
        <v>76</v>
      </c>
      <c r="E13" s="62" t="s">
        <v>82</v>
      </c>
      <c r="F13" s="74" t="s">
        <v>83</v>
      </c>
      <c r="G13" s="64" t="s">
        <v>78</v>
      </c>
      <c r="H13" s="70"/>
      <c r="I13" s="38">
        <v>8</v>
      </c>
      <c r="J13" s="68">
        <v>53.2</v>
      </c>
      <c r="K13" s="40">
        <v>39.700000000000003</v>
      </c>
      <c r="M13" s="47">
        <v>45237</v>
      </c>
      <c r="N13" s="23">
        <v>81</v>
      </c>
      <c r="O13" s="27" t="s">
        <v>84</v>
      </c>
      <c r="P13" s="23">
        <v>83</v>
      </c>
      <c r="Q13" s="27" t="s">
        <v>33</v>
      </c>
      <c r="R13" s="27" t="s">
        <v>108</v>
      </c>
      <c r="S13" s="21">
        <f t="shared" si="0"/>
        <v>318149323855</v>
      </c>
      <c r="T13" s="27" t="s">
        <v>79</v>
      </c>
      <c r="U13" s="45" t="s">
        <v>35</v>
      </c>
      <c r="V13" s="17"/>
    </row>
    <row r="14" spans="1:22" x14ac:dyDescent="0.2">
      <c r="A14" s="57">
        <v>3</v>
      </c>
      <c r="B14" s="76">
        <v>318149324127</v>
      </c>
      <c r="C14" s="41">
        <v>9932</v>
      </c>
      <c r="D14" s="22" t="s">
        <v>76</v>
      </c>
      <c r="E14" s="42" t="s">
        <v>95</v>
      </c>
      <c r="F14" s="42" t="s">
        <v>77</v>
      </c>
      <c r="G14" s="64" t="s">
        <v>78</v>
      </c>
      <c r="H14" s="71"/>
      <c r="I14" s="38">
        <v>8</v>
      </c>
      <c r="J14" s="39">
        <v>52</v>
      </c>
      <c r="K14" s="40">
        <v>39.700000000000003</v>
      </c>
      <c r="M14" s="60">
        <v>45237</v>
      </c>
      <c r="N14" s="23">
        <v>81</v>
      </c>
      <c r="O14" s="27" t="s">
        <v>96</v>
      </c>
      <c r="P14" s="23">
        <v>83</v>
      </c>
      <c r="Q14" s="27" t="s">
        <v>33</v>
      </c>
      <c r="R14" s="27" t="s">
        <v>101</v>
      </c>
      <c r="S14" s="21">
        <f t="shared" si="0"/>
        <v>318149324127</v>
      </c>
      <c r="T14" s="27" t="s">
        <v>79</v>
      </c>
      <c r="U14" s="45" t="s">
        <v>35</v>
      </c>
      <c r="V14" s="17"/>
    </row>
    <row r="15" spans="1:22" x14ac:dyDescent="0.2">
      <c r="A15" s="57">
        <v>4</v>
      </c>
      <c r="B15" s="69">
        <v>318149322162</v>
      </c>
      <c r="C15" s="41">
        <v>9932</v>
      </c>
      <c r="D15" s="61" t="s">
        <v>76</v>
      </c>
      <c r="E15" s="62" t="s">
        <v>97</v>
      </c>
      <c r="F15" s="42" t="s">
        <v>83</v>
      </c>
      <c r="G15" s="43" t="s">
        <v>78</v>
      </c>
      <c r="H15" s="70"/>
      <c r="I15" s="38">
        <v>8</v>
      </c>
      <c r="J15" s="68">
        <v>54.6</v>
      </c>
      <c r="K15" s="40">
        <v>39.700000000000003</v>
      </c>
      <c r="M15" s="47">
        <v>45233</v>
      </c>
      <c r="N15" s="23">
        <v>81</v>
      </c>
      <c r="O15" s="27" t="s">
        <v>98</v>
      </c>
      <c r="P15" s="23">
        <v>83</v>
      </c>
      <c r="Q15" s="27" t="s">
        <v>33</v>
      </c>
      <c r="R15" s="27" t="s">
        <v>99</v>
      </c>
      <c r="S15" s="21">
        <f t="shared" si="0"/>
        <v>318149322162</v>
      </c>
      <c r="T15" s="27" t="s">
        <v>79</v>
      </c>
      <c r="U15" s="45" t="s">
        <v>35</v>
      </c>
      <c r="V15" s="17"/>
    </row>
    <row r="16" spans="1:22" x14ac:dyDescent="0.2">
      <c r="A16" s="57">
        <v>5</v>
      </c>
      <c r="B16" s="69">
        <v>318127421671</v>
      </c>
      <c r="C16" s="41">
        <v>4407</v>
      </c>
      <c r="D16" s="22" t="s">
        <v>36</v>
      </c>
      <c r="E16" s="42" t="s">
        <v>57</v>
      </c>
      <c r="F16" s="42" t="s">
        <v>58</v>
      </c>
      <c r="G16" s="21" t="s">
        <v>42</v>
      </c>
      <c r="H16" s="73"/>
      <c r="I16" s="38">
        <v>4</v>
      </c>
      <c r="J16" s="39">
        <v>86.5</v>
      </c>
      <c r="K16" s="40">
        <v>23.2</v>
      </c>
      <c r="M16" s="47">
        <v>45236</v>
      </c>
      <c r="N16" s="23">
        <v>81</v>
      </c>
      <c r="O16" s="27" t="s">
        <v>59</v>
      </c>
      <c r="P16" s="23">
        <v>83</v>
      </c>
      <c r="Q16" s="27" t="s">
        <v>33</v>
      </c>
      <c r="R16" s="27" t="s">
        <v>105</v>
      </c>
      <c r="S16" s="21">
        <f t="shared" si="0"/>
        <v>318127421671</v>
      </c>
      <c r="T16" s="27" t="s">
        <v>34</v>
      </c>
      <c r="U16" s="45" t="s">
        <v>35</v>
      </c>
      <c r="V16" s="17"/>
    </row>
    <row r="17" spans="1:22" x14ac:dyDescent="0.2">
      <c r="A17" s="57">
        <v>6</v>
      </c>
      <c r="B17" s="69">
        <v>315553762701</v>
      </c>
      <c r="C17" s="41">
        <v>4403</v>
      </c>
      <c r="D17" s="38" t="s">
        <v>30</v>
      </c>
      <c r="E17" s="24" t="s">
        <v>65</v>
      </c>
      <c r="F17" s="42" t="s">
        <v>88</v>
      </c>
      <c r="G17" s="46" t="s">
        <v>44</v>
      </c>
      <c r="H17" s="70"/>
      <c r="I17" s="38">
        <v>4</v>
      </c>
      <c r="J17" s="39">
        <v>62.8</v>
      </c>
      <c r="K17" s="40">
        <v>15.7</v>
      </c>
      <c r="M17" s="60">
        <v>45238</v>
      </c>
      <c r="N17" s="23">
        <v>81</v>
      </c>
      <c r="O17" s="27" t="s">
        <v>66</v>
      </c>
      <c r="P17" s="23">
        <v>83</v>
      </c>
      <c r="Q17" s="27" t="s">
        <v>33</v>
      </c>
      <c r="R17" s="27" t="s">
        <v>103</v>
      </c>
      <c r="S17" s="21">
        <f t="shared" si="0"/>
        <v>315553762701</v>
      </c>
      <c r="T17" s="27" t="s">
        <v>34</v>
      </c>
      <c r="U17" s="45" t="s">
        <v>35</v>
      </c>
      <c r="V17" s="17"/>
    </row>
    <row r="18" spans="1:22" x14ac:dyDescent="0.2">
      <c r="A18" s="57">
        <v>7</v>
      </c>
      <c r="B18" s="69">
        <v>315553762560</v>
      </c>
      <c r="C18" s="41">
        <v>4403</v>
      </c>
      <c r="D18" s="38" t="s">
        <v>30</v>
      </c>
      <c r="E18" s="42" t="s">
        <v>65</v>
      </c>
      <c r="F18" s="24" t="s">
        <v>88</v>
      </c>
      <c r="G18" s="46" t="s">
        <v>44</v>
      </c>
      <c r="H18" s="70"/>
      <c r="I18" s="38">
        <v>4</v>
      </c>
      <c r="J18" s="39">
        <v>62.8</v>
      </c>
      <c r="K18" s="40">
        <v>15.7</v>
      </c>
      <c r="M18" s="60">
        <v>45238</v>
      </c>
      <c r="N18" s="23">
        <v>81</v>
      </c>
      <c r="O18" s="27" t="s">
        <v>66</v>
      </c>
      <c r="P18" s="23">
        <v>83</v>
      </c>
      <c r="Q18" s="27" t="s">
        <v>33</v>
      </c>
      <c r="R18" s="27" t="s">
        <v>102</v>
      </c>
      <c r="S18" s="21">
        <f t="shared" si="0"/>
        <v>315553762560</v>
      </c>
      <c r="T18" s="27" t="s">
        <v>34</v>
      </c>
      <c r="U18" s="45" t="s">
        <v>35</v>
      </c>
      <c r="V18" s="17"/>
    </row>
    <row r="19" spans="1:22" x14ac:dyDescent="0.2">
      <c r="A19" s="57">
        <v>8</v>
      </c>
      <c r="B19" s="75">
        <v>315553762735</v>
      </c>
      <c r="C19" s="41">
        <v>4403</v>
      </c>
      <c r="D19" s="38" t="s">
        <v>30</v>
      </c>
      <c r="E19" s="42" t="s">
        <v>65</v>
      </c>
      <c r="F19" s="42" t="s">
        <v>80</v>
      </c>
      <c r="G19" s="64" t="s">
        <v>73</v>
      </c>
      <c r="H19" s="72"/>
      <c r="I19" s="38">
        <v>4</v>
      </c>
      <c r="J19" s="39">
        <v>71.8</v>
      </c>
      <c r="K19" s="40">
        <v>15.7</v>
      </c>
      <c r="M19" s="63">
        <v>45238</v>
      </c>
      <c r="N19" s="23">
        <v>81</v>
      </c>
      <c r="O19" s="27" t="s">
        <v>66</v>
      </c>
      <c r="P19" s="23">
        <v>83</v>
      </c>
      <c r="Q19" s="27" t="s">
        <v>33</v>
      </c>
      <c r="R19" s="27" t="s">
        <v>100</v>
      </c>
      <c r="S19" s="21">
        <f t="shared" si="0"/>
        <v>315553762735</v>
      </c>
      <c r="T19" s="27" t="s">
        <v>34</v>
      </c>
      <c r="U19" s="45" t="s">
        <v>35</v>
      </c>
      <c r="V19" s="17"/>
    </row>
    <row r="20" spans="1:22" x14ac:dyDescent="0.2">
      <c r="A20" s="57">
        <v>9</v>
      </c>
      <c r="B20" s="69">
        <v>318139911628</v>
      </c>
      <c r="C20" s="41">
        <v>4407</v>
      </c>
      <c r="D20" s="38" t="s">
        <v>36</v>
      </c>
      <c r="E20" s="42" t="s">
        <v>63</v>
      </c>
      <c r="F20" s="42" t="s">
        <v>70</v>
      </c>
      <c r="G20" s="64" t="s">
        <v>42</v>
      </c>
      <c r="H20" s="70"/>
      <c r="I20" s="38">
        <v>4</v>
      </c>
      <c r="J20" s="39">
        <v>80.8</v>
      </c>
      <c r="K20" s="40">
        <v>22.3</v>
      </c>
      <c r="M20" s="60">
        <v>45238</v>
      </c>
      <c r="N20" s="23">
        <v>81</v>
      </c>
      <c r="O20" s="27" t="s">
        <v>64</v>
      </c>
      <c r="P20" s="23">
        <v>83</v>
      </c>
      <c r="Q20" s="27" t="s">
        <v>33</v>
      </c>
      <c r="R20" s="27" t="s">
        <v>110</v>
      </c>
      <c r="S20" s="21">
        <f t="shared" si="0"/>
        <v>318139911628</v>
      </c>
      <c r="T20" s="27" t="s">
        <v>34</v>
      </c>
      <c r="U20" s="45" t="s">
        <v>35</v>
      </c>
      <c r="V20" s="17"/>
    </row>
    <row r="21" spans="1:22" x14ac:dyDescent="0.2">
      <c r="A21" s="57">
        <v>10</v>
      </c>
      <c r="B21" s="69">
        <v>318127395974</v>
      </c>
      <c r="C21" s="41">
        <v>4407</v>
      </c>
      <c r="D21" s="38" t="s">
        <v>36</v>
      </c>
      <c r="E21" s="42" t="s">
        <v>40</v>
      </c>
      <c r="F21" s="42" t="s">
        <v>41</v>
      </c>
      <c r="G21" s="64" t="s">
        <v>72</v>
      </c>
      <c r="H21" s="70"/>
      <c r="I21" s="38">
        <v>4</v>
      </c>
      <c r="J21" s="39">
        <v>63.9</v>
      </c>
      <c r="K21" s="40">
        <v>23.3</v>
      </c>
      <c r="M21" s="47">
        <v>45237</v>
      </c>
      <c r="N21" s="23">
        <v>81</v>
      </c>
      <c r="O21" s="27" t="s">
        <v>43</v>
      </c>
      <c r="P21" s="23">
        <v>83</v>
      </c>
      <c r="Q21" s="27" t="s">
        <v>33</v>
      </c>
      <c r="R21" s="27" t="s">
        <v>106</v>
      </c>
      <c r="S21" s="21">
        <f t="shared" si="0"/>
        <v>318127395974</v>
      </c>
      <c r="T21" s="27" t="s">
        <v>34</v>
      </c>
      <c r="U21" s="45" t="s">
        <v>35</v>
      </c>
      <c r="V21" s="17"/>
    </row>
    <row r="22" spans="1:22" x14ac:dyDescent="0.2">
      <c r="A22" s="57">
        <v>11</v>
      </c>
      <c r="B22" s="69">
        <v>318127395412</v>
      </c>
      <c r="C22" s="41">
        <v>4407</v>
      </c>
      <c r="D22" s="38" t="s">
        <v>36</v>
      </c>
      <c r="E22" s="42" t="s">
        <v>40</v>
      </c>
      <c r="F22" s="42" t="s">
        <v>41</v>
      </c>
      <c r="G22" s="64" t="s">
        <v>49</v>
      </c>
      <c r="H22" s="70"/>
      <c r="I22" s="38">
        <v>4</v>
      </c>
      <c r="J22" s="39">
        <v>86.1</v>
      </c>
      <c r="K22" s="40">
        <v>23.3</v>
      </c>
      <c r="M22" s="47">
        <v>45237</v>
      </c>
      <c r="N22" s="23">
        <v>81</v>
      </c>
      <c r="O22" s="27" t="s">
        <v>43</v>
      </c>
      <c r="P22" s="23">
        <v>83</v>
      </c>
      <c r="Q22" s="27" t="s">
        <v>33</v>
      </c>
      <c r="R22" s="27" t="s">
        <v>107</v>
      </c>
      <c r="S22" s="21">
        <f t="shared" si="0"/>
        <v>318127395412</v>
      </c>
      <c r="T22" s="27" t="s">
        <v>34</v>
      </c>
      <c r="U22" s="45" t="s">
        <v>35</v>
      </c>
      <c r="V22" s="17"/>
    </row>
    <row r="23" spans="1:22" x14ac:dyDescent="0.2">
      <c r="A23" s="57">
        <v>12</v>
      </c>
      <c r="B23" s="69">
        <v>318153752007</v>
      </c>
      <c r="C23" s="41">
        <v>4403</v>
      </c>
      <c r="D23" s="38" t="s">
        <v>30</v>
      </c>
      <c r="E23" s="42" t="s">
        <v>50</v>
      </c>
      <c r="F23" s="74" t="s">
        <v>31</v>
      </c>
      <c r="G23" s="75" t="s">
        <v>32</v>
      </c>
      <c r="H23" s="70"/>
      <c r="I23" s="38">
        <v>4</v>
      </c>
      <c r="J23" s="39">
        <v>82.5</v>
      </c>
      <c r="K23" s="40">
        <v>15.7</v>
      </c>
      <c r="M23" s="60">
        <v>45233</v>
      </c>
      <c r="N23" s="23">
        <v>81</v>
      </c>
      <c r="O23" s="27" t="s">
        <v>51</v>
      </c>
      <c r="P23" s="23">
        <v>83</v>
      </c>
      <c r="Q23" s="27" t="s">
        <v>33</v>
      </c>
      <c r="R23" s="27" t="s">
        <v>91</v>
      </c>
      <c r="S23" s="21">
        <f t="shared" si="0"/>
        <v>318153752007</v>
      </c>
      <c r="T23" s="27" t="s">
        <v>34</v>
      </c>
      <c r="U23" s="45" t="s">
        <v>35</v>
      </c>
      <c r="V23" s="17"/>
    </row>
    <row r="24" spans="1:22" x14ac:dyDescent="0.2">
      <c r="A24" s="57">
        <v>13</v>
      </c>
      <c r="B24" s="69">
        <v>315353755350</v>
      </c>
      <c r="C24" s="41">
        <v>4403</v>
      </c>
      <c r="D24" s="38" t="s">
        <v>30</v>
      </c>
      <c r="E24" s="24" t="s">
        <v>50</v>
      </c>
      <c r="F24" s="74" t="s">
        <v>31</v>
      </c>
      <c r="G24" s="69" t="s">
        <v>32</v>
      </c>
      <c r="H24" s="70"/>
      <c r="I24" s="38">
        <v>4</v>
      </c>
      <c r="J24" s="39">
        <v>80.599999999999994</v>
      </c>
      <c r="K24" s="40">
        <v>15.7</v>
      </c>
      <c r="M24" s="60">
        <v>45233</v>
      </c>
      <c r="N24" s="23">
        <v>81</v>
      </c>
      <c r="O24" s="27" t="s">
        <v>51</v>
      </c>
      <c r="P24" s="23">
        <v>83</v>
      </c>
      <c r="Q24" s="27" t="s">
        <v>33</v>
      </c>
      <c r="R24" s="27" t="s">
        <v>90</v>
      </c>
      <c r="S24" s="21">
        <f t="shared" si="0"/>
        <v>315353755350</v>
      </c>
      <c r="T24" s="27" t="s">
        <v>34</v>
      </c>
      <c r="U24" s="45" t="s">
        <v>35</v>
      </c>
      <c r="V24" s="17"/>
    </row>
    <row r="25" spans="1:22" x14ac:dyDescent="0.2">
      <c r="A25" s="57">
        <v>14</v>
      </c>
      <c r="B25" s="69">
        <v>318128920168</v>
      </c>
      <c r="C25" s="23">
        <v>4407</v>
      </c>
      <c r="D25" s="22" t="s">
        <v>36</v>
      </c>
      <c r="E25" s="42" t="s">
        <v>52</v>
      </c>
      <c r="F25" s="42" t="s">
        <v>69</v>
      </c>
      <c r="G25" s="46" t="s">
        <v>89</v>
      </c>
      <c r="H25" s="70" t="s">
        <v>38</v>
      </c>
      <c r="I25" s="38">
        <v>4</v>
      </c>
      <c r="J25" s="39">
        <v>78.2</v>
      </c>
      <c r="K25" s="40">
        <v>23.2</v>
      </c>
      <c r="M25" s="60">
        <v>45233</v>
      </c>
      <c r="N25" s="23">
        <v>81</v>
      </c>
      <c r="O25" s="27" t="s">
        <v>53</v>
      </c>
      <c r="P25" s="23">
        <v>83</v>
      </c>
      <c r="Q25" s="27" t="s">
        <v>33</v>
      </c>
      <c r="R25" s="27" t="s">
        <v>92</v>
      </c>
      <c r="S25" s="21">
        <f t="shared" si="0"/>
        <v>318128920168</v>
      </c>
      <c r="T25" s="27" t="s">
        <v>34</v>
      </c>
      <c r="U25" s="45" t="s">
        <v>35</v>
      </c>
      <c r="V25" s="17"/>
    </row>
    <row r="26" spans="1:22" x14ac:dyDescent="0.2">
      <c r="A26" s="57">
        <v>15</v>
      </c>
      <c r="B26" s="69">
        <v>218143950796</v>
      </c>
      <c r="C26" s="41">
        <v>4418</v>
      </c>
      <c r="D26" s="38" t="s">
        <v>47</v>
      </c>
      <c r="E26" s="42" t="s">
        <v>60</v>
      </c>
      <c r="F26" s="62" t="s">
        <v>61</v>
      </c>
      <c r="G26" s="64" t="s">
        <v>54</v>
      </c>
      <c r="H26" s="70" t="s">
        <v>38</v>
      </c>
      <c r="I26" s="38">
        <v>4</v>
      </c>
      <c r="J26" s="65">
        <v>79.099999999999994</v>
      </c>
      <c r="K26" s="40">
        <v>29.6</v>
      </c>
      <c r="M26" s="60">
        <v>45236</v>
      </c>
      <c r="N26" s="23">
        <v>81</v>
      </c>
      <c r="O26" s="27" t="s">
        <v>62</v>
      </c>
      <c r="P26" s="23">
        <v>83</v>
      </c>
      <c r="Q26" s="27" t="s">
        <v>33</v>
      </c>
      <c r="R26" s="27" t="s">
        <v>93</v>
      </c>
      <c r="S26" s="21">
        <f t="shared" si="0"/>
        <v>218143950796</v>
      </c>
      <c r="T26" s="27" t="s">
        <v>34</v>
      </c>
      <c r="U26" s="45" t="s">
        <v>35</v>
      </c>
      <c r="V26" s="17"/>
    </row>
    <row r="27" spans="1:22" x14ac:dyDescent="0.2">
      <c r="A27" s="57">
        <v>16</v>
      </c>
      <c r="B27" s="69">
        <v>218143952610</v>
      </c>
      <c r="C27" s="41">
        <v>4418</v>
      </c>
      <c r="D27" s="38" t="s">
        <v>47</v>
      </c>
      <c r="E27" s="42" t="s">
        <v>60</v>
      </c>
      <c r="F27" s="62" t="s">
        <v>61</v>
      </c>
      <c r="G27" s="64" t="s">
        <v>48</v>
      </c>
      <c r="H27" s="70" t="s">
        <v>38</v>
      </c>
      <c r="I27" s="38">
        <v>4</v>
      </c>
      <c r="J27" s="65">
        <v>78.7</v>
      </c>
      <c r="K27" s="40">
        <v>29.6</v>
      </c>
      <c r="M27" s="60">
        <v>45236</v>
      </c>
      <c r="N27" s="23">
        <v>81</v>
      </c>
      <c r="O27" s="27" t="s">
        <v>62</v>
      </c>
      <c r="P27" s="23">
        <v>83</v>
      </c>
      <c r="Q27" s="27" t="s">
        <v>33</v>
      </c>
      <c r="R27" s="27" t="s">
        <v>94</v>
      </c>
      <c r="S27" s="21">
        <f t="shared" si="0"/>
        <v>218143952610</v>
      </c>
      <c r="T27" s="27" t="s">
        <v>34</v>
      </c>
      <c r="U27" s="45" t="s">
        <v>35</v>
      </c>
      <c r="V27" s="17"/>
    </row>
    <row r="28" spans="1:22" x14ac:dyDescent="0.2">
      <c r="A28" s="57">
        <v>17</v>
      </c>
      <c r="B28" s="69">
        <v>218143952644</v>
      </c>
      <c r="C28" s="67" t="s">
        <v>74</v>
      </c>
      <c r="D28" s="61" t="s">
        <v>75</v>
      </c>
      <c r="E28" s="42" t="s">
        <v>45</v>
      </c>
      <c r="F28" s="74" t="s">
        <v>56</v>
      </c>
      <c r="G28" s="69" t="s">
        <v>55</v>
      </c>
      <c r="H28" s="70" t="s">
        <v>38</v>
      </c>
      <c r="I28" s="38">
        <v>4</v>
      </c>
      <c r="J28" s="59">
        <v>75.3</v>
      </c>
      <c r="K28" s="40">
        <v>29.6</v>
      </c>
      <c r="M28" s="47">
        <v>45238</v>
      </c>
      <c r="N28" s="23">
        <v>81</v>
      </c>
      <c r="O28" s="27" t="s">
        <v>46</v>
      </c>
      <c r="P28" s="23">
        <v>83</v>
      </c>
      <c r="Q28" s="27" t="s">
        <v>33</v>
      </c>
      <c r="R28" s="27" t="s">
        <v>111</v>
      </c>
      <c r="S28" s="21">
        <f t="shared" si="0"/>
        <v>218143952644</v>
      </c>
      <c r="T28" s="27" t="s">
        <v>34</v>
      </c>
      <c r="U28" s="45" t="s">
        <v>35</v>
      </c>
      <c r="V28" s="17"/>
    </row>
    <row r="29" spans="1:22" x14ac:dyDescent="0.2">
      <c r="A29" s="57">
        <v>18</v>
      </c>
      <c r="B29" s="69">
        <v>218143950820</v>
      </c>
      <c r="C29" s="41">
        <v>4407</v>
      </c>
      <c r="D29" s="38" t="s">
        <v>36</v>
      </c>
      <c r="E29" s="42" t="s">
        <v>67</v>
      </c>
      <c r="F29" s="42" t="s">
        <v>86</v>
      </c>
      <c r="G29" s="46" t="s">
        <v>87</v>
      </c>
      <c r="H29" s="70" t="s">
        <v>38</v>
      </c>
      <c r="I29" s="38">
        <v>4</v>
      </c>
      <c r="J29" s="58">
        <v>76.099999999999994</v>
      </c>
      <c r="K29" s="40">
        <v>29.6</v>
      </c>
      <c r="M29" s="47">
        <v>45237</v>
      </c>
      <c r="N29" s="23">
        <v>81</v>
      </c>
      <c r="O29" s="27" t="s">
        <v>68</v>
      </c>
      <c r="P29" s="23">
        <v>83</v>
      </c>
      <c r="Q29" s="27" t="s">
        <v>33</v>
      </c>
      <c r="R29" s="27" t="s">
        <v>104</v>
      </c>
      <c r="S29" s="21">
        <f t="shared" si="0"/>
        <v>218143950820</v>
      </c>
      <c r="T29" s="27" t="s">
        <v>34</v>
      </c>
      <c r="U29" s="45" t="s">
        <v>35</v>
      </c>
      <c r="V29" s="17"/>
    </row>
    <row r="30" spans="1:22" x14ac:dyDescent="0.2">
      <c r="A30" s="57">
        <v>19</v>
      </c>
      <c r="B30" s="69">
        <v>218143950077</v>
      </c>
      <c r="C30" s="41">
        <v>4407</v>
      </c>
      <c r="D30" s="38" t="s">
        <v>36</v>
      </c>
      <c r="E30" s="42" t="s">
        <v>37</v>
      </c>
      <c r="F30" s="42" t="s">
        <v>85</v>
      </c>
      <c r="G30" s="43" t="s">
        <v>112</v>
      </c>
      <c r="H30" s="70" t="s">
        <v>38</v>
      </c>
      <c r="I30" s="38">
        <v>4</v>
      </c>
      <c r="J30" s="58">
        <v>79.099999999999994</v>
      </c>
      <c r="K30" s="40">
        <v>29.6</v>
      </c>
      <c r="M30" s="47">
        <v>45238</v>
      </c>
      <c r="N30" s="23">
        <v>81</v>
      </c>
      <c r="O30" s="27" t="s">
        <v>39</v>
      </c>
      <c r="P30" s="23">
        <v>83</v>
      </c>
      <c r="Q30" s="27" t="s">
        <v>33</v>
      </c>
      <c r="R30" s="27" t="s">
        <v>113</v>
      </c>
      <c r="S30" s="21">
        <f t="shared" si="0"/>
        <v>218143950077</v>
      </c>
      <c r="T30" s="27" t="s">
        <v>34</v>
      </c>
      <c r="U30" s="45" t="s">
        <v>35</v>
      </c>
      <c r="V30" s="17"/>
    </row>
    <row r="31" spans="1:22" x14ac:dyDescent="0.2">
      <c r="A31" s="57"/>
      <c r="B31" s="46"/>
      <c r="C31" s="41"/>
      <c r="D31" s="38"/>
      <c r="E31" s="42"/>
      <c r="F31" s="42"/>
      <c r="G31" s="46"/>
      <c r="H31" s="44"/>
      <c r="I31" s="38"/>
      <c r="J31" s="58"/>
      <c r="K31" s="40"/>
      <c r="M31" s="47"/>
      <c r="N31" s="23"/>
      <c r="O31" s="27"/>
      <c r="P31" s="23"/>
      <c r="Q31" s="27"/>
      <c r="R31" s="27"/>
      <c r="S31" s="21"/>
      <c r="T31" s="27"/>
      <c r="U31" s="45"/>
      <c r="V31" s="17"/>
    </row>
    <row r="32" spans="1:22" ht="13.5" thickBot="1" x14ac:dyDescent="0.25">
      <c r="A32" s="29"/>
      <c r="B32" s="7"/>
      <c r="C32" s="8"/>
      <c r="D32" s="9"/>
      <c r="E32" s="10"/>
      <c r="F32" s="10"/>
      <c r="G32" s="7"/>
      <c r="H32" s="13"/>
      <c r="I32" s="13"/>
      <c r="J32" s="25"/>
      <c r="K32" s="26"/>
      <c r="M32" s="32"/>
      <c r="N32" s="33"/>
      <c r="O32" s="9"/>
      <c r="P32" s="9"/>
      <c r="Q32" s="9"/>
      <c r="R32" s="9"/>
      <c r="S32" s="7"/>
      <c r="T32" s="34"/>
      <c r="U32" s="35"/>
      <c r="V32" s="17"/>
    </row>
    <row r="33" spans="3:22" ht="13.5" thickBot="1" x14ac:dyDescent="0.25">
      <c r="H33" s="12"/>
      <c r="I33" s="20">
        <f>SUM(I12:I32,)</f>
        <v>92</v>
      </c>
      <c r="J33" s="20">
        <f>SUM(J12:J32,1)</f>
        <v>1356.6999999999998</v>
      </c>
      <c r="K33" s="20">
        <f>SUM(K12:K32,-1)</f>
        <v>499.60000000000008</v>
      </c>
      <c r="Q33"/>
      <c r="T33" s="18"/>
    </row>
    <row r="34" spans="3:22" ht="13.5" thickTop="1" x14ac:dyDescent="0.2"/>
    <row r="36" spans="3:22" x14ac:dyDescent="0.2">
      <c r="J36" s="28"/>
    </row>
    <row r="46" spans="3:22" x14ac:dyDescent="0.2">
      <c r="C46" s="50"/>
      <c r="D46" s="18"/>
      <c r="E46" s="51"/>
      <c r="F46" s="51"/>
      <c r="G46" s="52"/>
      <c r="H46" s="18"/>
      <c r="I46" s="18"/>
      <c r="J46" s="53"/>
      <c r="K46" s="54"/>
      <c r="M46" s="55"/>
      <c r="N46" s="50"/>
      <c r="O46" s="56"/>
      <c r="P46" s="50"/>
      <c r="Q46" s="56"/>
      <c r="R46" s="56"/>
      <c r="S46" s="52"/>
      <c r="T46" s="56"/>
      <c r="U46" s="56"/>
      <c r="V46" s="17"/>
    </row>
  </sheetData>
  <sortState xmlns:xlrd2="http://schemas.microsoft.com/office/spreadsheetml/2017/richdata2" ref="A12:V30">
    <sortCondition ref="A12:A30"/>
  </sortState>
  <conditionalFormatting sqref="J25:J31">
    <cfRule type="cellIs" dxfId="47" priority="76" stopIfTrue="1" operator="greaterThan">
      <formula>80</formula>
    </cfRule>
  </conditionalFormatting>
  <conditionalFormatting sqref="J27">
    <cfRule type="cellIs" dxfId="46" priority="75" stopIfTrue="1" operator="greaterThan">
      <formula>80</formula>
    </cfRule>
  </conditionalFormatting>
  <conditionalFormatting sqref="J27">
    <cfRule type="cellIs" dxfId="45" priority="74" stopIfTrue="1" operator="greaterThan">
      <formula>80</formula>
    </cfRule>
  </conditionalFormatting>
  <conditionalFormatting sqref="J27">
    <cfRule type="cellIs" dxfId="44" priority="73" stopIfTrue="1" operator="greaterThan">
      <formula>80</formula>
    </cfRule>
  </conditionalFormatting>
  <conditionalFormatting sqref="J27">
    <cfRule type="cellIs" dxfId="43" priority="72" stopIfTrue="1" operator="greaterThan">
      <formula>80</formula>
    </cfRule>
  </conditionalFormatting>
  <conditionalFormatting sqref="J27">
    <cfRule type="cellIs" dxfId="42" priority="71" stopIfTrue="1" operator="greaterThan">
      <formula>80</formula>
    </cfRule>
  </conditionalFormatting>
  <conditionalFormatting sqref="J27">
    <cfRule type="cellIs" dxfId="41" priority="70" stopIfTrue="1" operator="greaterThan">
      <formula>80</formula>
    </cfRule>
  </conditionalFormatting>
  <conditionalFormatting sqref="J27">
    <cfRule type="cellIs" dxfId="40" priority="69" stopIfTrue="1" operator="greaterThan">
      <formula>80</formula>
    </cfRule>
  </conditionalFormatting>
  <conditionalFormatting sqref="J27">
    <cfRule type="cellIs" dxfId="39" priority="68" stopIfTrue="1" operator="greaterThan">
      <formula>80</formula>
    </cfRule>
  </conditionalFormatting>
  <conditionalFormatting sqref="J27">
    <cfRule type="cellIs" dxfId="38" priority="67" stopIfTrue="1" operator="greaterThan">
      <formula>80</formula>
    </cfRule>
  </conditionalFormatting>
  <conditionalFormatting sqref="J27">
    <cfRule type="cellIs" dxfId="37" priority="66" stopIfTrue="1" operator="greaterThan">
      <formula>80</formula>
    </cfRule>
  </conditionalFormatting>
  <conditionalFormatting sqref="J27">
    <cfRule type="cellIs" dxfId="36" priority="65" stopIfTrue="1" operator="greaterThan">
      <formula>80</formula>
    </cfRule>
  </conditionalFormatting>
  <conditionalFormatting sqref="J27">
    <cfRule type="cellIs" dxfId="35" priority="64" stopIfTrue="1" operator="greaterThan">
      <formula>80</formula>
    </cfRule>
  </conditionalFormatting>
  <conditionalFormatting sqref="J27">
    <cfRule type="cellIs" dxfId="34" priority="63" stopIfTrue="1" operator="greaterThan">
      <formula>80</formula>
    </cfRule>
  </conditionalFormatting>
  <conditionalFormatting sqref="J27">
    <cfRule type="cellIs" dxfId="33" priority="62" stopIfTrue="1" operator="greaterThan">
      <formula>80</formula>
    </cfRule>
  </conditionalFormatting>
  <conditionalFormatting sqref="J27">
    <cfRule type="cellIs" dxfId="32" priority="61" stopIfTrue="1" operator="greaterThan">
      <formula>80</formula>
    </cfRule>
  </conditionalFormatting>
  <conditionalFormatting sqref="J27">
    <cfRule type="cellIs" dxfId="31" priority="60" stopIfTrue="1" operator="greaterThan">
      <formula>80</formula>
    </cfRule>
  </conditionalFormatting>
  <conditionalFormatting sqref="J27">
    <cfRule type="cellIs" dxfId="30" priority="59" stopIfTrue="1" operator="greaterThan">
      <formula>80</formula>
    </cfRule>
  </conditionalFormatting>
  <conditionalFormatting sqref="J27">
    <cfRule type="cellIs" dxfId="29" priority="58" stopIfTrue="1" operator="greaterThan">
      <formula>80</formula>
    </cfRule>
  </conditionalFormatting>
  <conditionalFormatting sqref="J27">
    <cfRule type="cellIs" dxfId="28" priority="57" stopIfTrue="1" operator="greaterThan">
      <formula>80</formula>
    </cfRule>
  </conditionalFormatting>
  <conditionalFormatting sqref="J27">
    <cfRule type="cellIs" dxfId="27" priority="56" stopIfTrue="1" operator="greaterThan">
      <formula>80</formula>
    </cfRule>
  </conditionalFormatting>
  <conditionalFormatting sqref="J27">
    <cfRule type="cellIs" dxfId="26" priority="55" stopIfTrue="1" operator="greaterThan">
      <formula>80</formula>
    </cfRule>
  </conditionalFormatting>
  <conditionalFormatting sqref="J27">
    <cfRule type="cellIs" dxfId="25" priority="54" stopIfTrue="1" operator="greaterThan">
      <formula>80</formula>
    </cfRule>
  </conditionalFormatting>
  <conditionalFormatting sqref="J28">
    <cfRule type="cellIs" dxfId="24" priority="28" stopIfTrue="1" operator="greaterThan">
      <formula>80</formula>
    </cfRule>
  </conditionalFormatting>
  <conditionalFormatting sqref="J28">
    <cfRule type="cellIs" dxfId="23" priority="27" stopIfTrue="1" operator="greaterThan">
      <formula>80</formula>
    </cfRule>
  </conditionalFormatting>
  <conditionalFormatting sqref="J28">
    <cfRule type="cellIs" dxfId="22" priority="26" stopIfTrue="1" operator="greaterThan">
      <formula>80</formula>
    </cfRule>
  </conditionalFormatting>
  <conditionalFormatting sqref="J28">
    <cfRule type="cellIs" dxfId="21" priority="25" stopIfTrue="1" operator="greaterThan">
      <formula>80</formula>
    </cfRule>
  </conditionalFormatting>
  <conditionalFormatting sqref="J28">
    <cfRule type="cellIs" dxfId="20" priority="24" stopIfTrue="1" operator="greaterThan">
      <formula>80</formula>
    </cfRule>
  </conditionalFormatting>
  <conditionalFormatting sqref="J28">
    <cfRule type="cellIs" dxfId="19" priority="23" stopIfTrue="1" operator="greaterThan">
      <formula>80</formula>
    </cfRule>
  </conditionalFormatting>
  <conditionalFormatting sqref="J28">
    <cfRule type="cellIs" dxfId="18" priority="22" stopIfTrue="1" operator="greaterThan">
      <formula>80</formula>
    </cfRule>
  </conditionalFormatting>
  <conditionalFormatting sqref="J28">
    <cfRule type="cellIs" dxfId="17" priority="21" stopIfTrue="1" operator="greaterThan">
      <formula>80</formula>
    </cfRule>
  </conditionalFormatting>
  <conditionalFormatting sqref="J28">
    <cfRule type="cellIs" dxfId="16" priority="20" stopIfTrue="1" operator="greaterThan">
      <formula>80</formula>
    </cfRule>
  </conditionalFormatting>
  <conditionalFormatting sqref="J28">
    <cfRule type="cellIs" dxfId="15" priority="19" stopIfTrue="1" operator="greaterThan">
      <formula>80</formula>
    </cfRule>
  </conditionalFormatting>
  <conditionalFormatting sqref="J28">
    <cfRule type="cellIs" dxfId="14" priority="18" stopIfTrue="1" operator="greaterThan">
      <formula>80</formula>
    </cfRule>
  </conditionalFormatting>
  <conditionalFormatting sqref="J28">
    <cfRule type="cellIs" dxfId="13" priority="17" stopIfTrue="1" operator="greaterThan">
      <formula>80</formula>
    </cfRule>
  </conditionalFormatting>
  <conditionalFormatting sqref="J28">
    <cfRule type="cellIs" dxfId="12" priority="16" stopIfTrue="1" operator="greaterThan">
      <formula>80</formula>
    </cfRule>
  </conditionalFormatting>
  <conditionalFormatting sqref="J28">
    <cfRule type="cellIs" dxfId="11" priority="15" stopIfTrue="1" operator="greaterThan">
      <formula>80</formula>
    </cfRule>
  </conditionalFormatting>
  <conditionalFormatting sqref="J28">
    <cfRule type="cellIs" dxfId="10" priority="14" stopIfTrue="1" operator="greaterThan">
      <formula>80</formula>
    </cfRule>
  </conditionalFormatting>
  <conditionalFormatting sqref="J28">
    <cfRule type="cellIs" dxfId="9" priority="13" stopIfTrue="1" operator="greaterThan">
      <formula>80</formula>
    </cfRule>
  </conditionalFormatting>
  <conditionalFormatting sqref="J28">
    <cfRule type="cellIs" dxfId="8" priority="12" stopIfTrue="1" operator="greaterThan">
      <formula>80</formula>
    </cfRule>
  </conditionalFormatting>
  <conditionalFormatting sqref="J28">
    <cfRule type="cellIs" dxfId="7" priority="11" stopIfTrue="1" operator="greaterThan">
      <formula>80</formula>
    </cfRule>
  </conditionalFormatting>
  <conditionalFormatting sqref="J28">
    <cfRule type="cellIs" dxfId="6" priority="10" stopIfTrue="1" operator="greaterThan">
      <formula>80</formula>
    </cfRule>
  </conditionalFormatting>
  <conditionalFormatting sqref="J28">
    <cfRule type="cellIs" dxfId="5" priority="9" stopIfTrue="1" operator="greaterThan">
      <formula>80</formula>
    </cfRule>
  </conditionalFormatting>
  <conditionalFormatting sqref="J28">
    <cfRule type="cellIs" dxfId="4" priority="8" stopIfTrue="1" operator="greaterThan">
      <formula>80</formula>
    </cfRule>
  </conditionalFormatting>
  <conditionalFormatting sqref="J28">
    <cfRule type="cellIs" dxfId="3" priority="7" stopIfTrue="1" operator="greaterThan">
      <formula>80</formula>
    </cfRule>
  </conditionalFormatting>
  <conditionalFormatting sqref="J28">
    <cfRule type="cellIs" dxfId="2" priority="6" stopIfTrue="1" operator="greaterThan">
      <formula>80</formula>
    </cfRule>
  </conditionalFormatting>
  <conditionalFormatting sqref="J28">
    <cfRule type="cellIs" dxfId="1" priority="5" stopIfTrue="1" operator="greaterThan">
      <formula>80</formula>
    </cfRule>
  </conditionalFormatting>
  <conditionalFormatting sqref="J19">
    <cfRule type="cellIs" dxfId="0" priority="4" stopIfTrue="1" operator="greaterThan">
      <formula>80</formula>
    </cfRule>
  </conditionalFormatting>
  <pageMargins left="0.54" right="0.23" top="0.984251969" bottom="0.984251969" header="0.4921259845" footer="0.4921259845"/>
  <pageSetup paperSize="9" scale="66" orientation="landscape" r:id="rId1"/>
  <headerFooter alignWithMargins="0">
    <oddFooter>&amp;L&amp;1#&amp;"Calibri"&amp;10&amp;KFFC000TLP gelb (Adressatenkreis)</oddFooter>
  </headerFooter>
  <colBreaks count="1" manualBreakCount="1">
    <brk id="11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B96DE17E20B0419D1ACA86172362B9" ma:contentTypeVersion="12" ma:contentTypeDescription="Create a new document." ma:contentTypeScope="" ma:versionID="3f9de22b9eabfbe0ce2499e2c17716ca">
  <xsd:schema xmlns:xsd="http://www.w3.org/2001/XMLSchema" xmlns:xs="http://www.w3.org/2001/XMLSchema" xmlns:p="http://schemas.microsoft.com/office/2006/metadata/properties" xmlns:ns2="b6357ee4-29c1-43c9-97b1-6820903bc3f5" xmlns:ns3="7fea0273-de0d-4c7e-a92c-916e8c89b2d9" targetNamespace="http://schemas.microsoft.com/office/2006/metadata/properties" ma:root="true" ma:fieldsID="850fb2460bea2e16cec9404cf92f75db" ns2:_="" ns3:_="">
    <xsd:import namespace="b6357ee4-29c1-43c9-97b1-6820903bc3f5"/>
    <xsd:import namespace="7fea0273-de0d-4c7e-a92c-916e8c89b2d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357ee4-29c1-43c9-97b1-6820903bc3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5bb02ba0-019e-4dde-a747-62871f39f87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ea0273-de0d-4c7e-a92c-916e8c89b2d9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2c6a5cb5-08b7-49dd-ada0-e2c46650478c}" ma:internalName="TaxCatchAll" ma:showField="CatchAllData" ma:web="7fea0273-de0d-4c7e-a92c-916e8c89b2d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fea0273-de0d-4c7e-a92c-916e8c89b2d9" xsi:nil="true"/>
    <lcf76f155ced4ddcb4097134ff3c332f xmlns="b6357ee4-29c1-43c9-97b1-6820903bc3f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0053955-9E81-4AB2-89B3-3127EC3A9E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357ee4-29c1-43c9-97b1-6820903bc3f5"/>
    <ds:schemaRef ds:uri="7fea0273-de0d-4c7e-a92c-916e8c89b2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D4D107F-09C7-4685-8859-40E902D6403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52301D-A3C4-4D2A-AC1C-DB7E5E352B37}">
  <ds:schemaRefs>
    <ds:schemaRef ds:uri="http://schemas.microsoft.com/office/2006/metadata/properties"/>
    <ds:schemaRef ds:uri="http://schemas.microsoft.com/office/infopath/2007/PartnerControls"/>
    <ds:schemaRef ds:uri="7fea0273-de0d-4c7e-a92c-916e8c89b2d9"/>
    <ds:schemaRef ds:uri="b6357ee4-29c1-43c9-97b1-6820903bc3f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09.11.23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mario.suntinger</dc:creator>
  <cp:keywords/>
  <dc:description/>
  <cp:lastModifiedBy>Suntinger-Hofer Mario (Rail Cargo)</cp:lastModifiedBy>
  <cp:revision/>
  <dcterms:created xsi:type="dcterms:W3CDTF">2008-10-09T11:28:43Z</dcterms:created>
  <dcterms:modified xsi:type="dcterms:W3CDTF">2023-11-09T10:00:22Z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da0c22-3e77-43b9-8faf-0bad2baf7893_Enabled">
    <vt:lpwstr>true</vt:lpwstr>
  </property>
  <property fmtid="{D5CDD505-2E9C-101B-9397-08002B2CF9AE}" pid="3" name="MSIP_Label_0cda0c22-3e77-43b9-8faf-0bad2baf7893_SetDate">
    <vt:lpwstr>2023-09-29T04:58:54Z</vt:lpwstr>
  </property>
  <property fmtid="{D5CDD505-2E9C-101B-9397-08002B2CF9AE}" pid="4" name="MSIP_Label_0cda0c22-3e77-43b9-8faf-0bad2baf7893_Method">
    <vt:lpwstr>Standard</vt:lpwstr>
  </property>
  <property fmtid="{D5CDD505-2E9C-101B-9397-08002B2CF9AE}" pid="5" name="MSIP_Label_0cda0c22-3e77-43b9-8faf-0bad2baf7893_Name">
    <vt:lpwstr>TLP gelb</vt:lpwstr>
  </property>
  <property fmtid="{D5CDD505-2E9C-101B-9397-08002B2CF9AE}" pid="6" name="MSIP_Label_0cda0c22-3e77-43b9-8faf-0bad2baf7893_SiteId">
    <vt:lpwstr>085c0b65-6a84-4006-851e-5faa7ec5367e</vt:lpwstr>
  </property>
  <property fmtid="{D5CDD505-2E9C-101B-9397-08002B2CF9AE}" pid="7" name="MSIP_Label_0cda0c22-3e77-43b9-8faf-0bad2baf7893_ActionId">
    <vt:lpwstr>8ffe3b2b-3a7c-4bdf-a800-2bbc6441fd1a</vt:lpwstr>
  </property>
  <property fmtid="{D5CDD505-2E9C-101B-9397-08002B2CF9AE}" pid="8" name="MSIP_Label_0cda0c22-3e77-43b9-8faf-0bad2baf7893_ContentBits">
    <vt:lpwstr>2</vt:lpwstr>
  </property>
  <property fmtid="{D5CDD505-2E9C-101B-9397-08002B2CF9AE}" pid="9" name="ContentTypeId">
    <vt:lpwstr>0x0101006CB96DE17E20B0419D1ACA86172362B9</vt:lpwstr>
  </property>
  <property fmtid="{D5CDD505-2E9C-101B-9397-08002B2CF9AE}" pid="10" name="MediaServiceImageTags">
    <vt:lpwstr/>
  </property>
</Properties>
</file>